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$#,##0.00;($#,##0.00);&quot;-&quot;"/>
    <numFmt numFmtId="166" formatCode="0.0%;(0.0%);&quot;-&quot;"/>
    <numFmt numFmtId="167" formatCode="$0.000;($0.000);&quot;-&quot;"/>
    <numFmt numFmtId="168" formatCode="0.0&quot;x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5" fillId="0" borderId="1" pivotButton="0" quotePrefix="0" xfId="0"/>
    <xf numFmtId="165" fontId="5" fillId="0" borderId="1" pivotButton="0" quotePrefix="0" xfId="0"/>
    <xf numFmtId="3" fontId="5" fillId="0" borderId="1" pivotButton="0" quotePrefix="0" xfId="0"/>
    <xf numFmtId="166" fontId="5" fillId="3" borderId="1" pivotButton="0" quotePrefix="0" xfId="0"/>
    <xf numFmtId="3" fontId="5" fillId="3" borderId="1" pivotButton="0" quotePrefix="0" xfId="0"/>
    <xf numFmtId="167" fontId="5" fillId="0" borderId="1" pivotButton="0" quotePrefix="0" xfId="0"/>
    <xf numFmtId="168" fontId="5" fillId="0" borderId="1" pivotButton="0" quotePrefix="0" xfId="0"/>
    <xf numFmtId="0" fontId="6" fillId="0" borderId="1" pivotButton="0" quotePrefix="0" xfId="0"/>
    <xf numFmtId="167" fontId="6" fillId="0" borderId="1" pivotButton="0" quotePrefix="0" xfId="0"/>
    <xf numFmtId="167" fontId="2" fillId="0" borderId="1" pivotButton="0" quotePrefix="0" xfId="0"/>
    <xf numFmtId="0" fontId="3" fillId="4" borderId="1" pivotButton="0" quotePrefix="0" xfId="0"/>
    <xf numFmtId="165" fontId="6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7" fillId="0" borderId="0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Model</author>
  </authors>
  <commentList>
    <comment ref="B2" authorId="0" shapeId="0">
      <text>
        <t>Entrackr: ~INR 565 Cr FY25, 5.4x YoY.</t>
      </text>
    </comment>
    <comment ref="B3" authorId="0" shapeId="0">
      <text>
        <t>Entrackr: ~INR 73 Cr FY25.</t>
      </text>
    </comment>
    <comment ref="B4" authorId="0" shapeId="0">
      <text>
        <t>Trade press, mid-2026.</t>
      </text>
    </comment>
    <comment ref="B7" authorId="0" shapeId="0">
      <text>
        <t>Est: $62mm ring revenue / ~$300 net ASP = ~207k FY25 units; cumulative ~400k.</t>
      </text>
    </comment>
    <comment ref="B8" authorId="0" shapeId="0">
      <text>
        <t>Est: 15% of base engage with Jade regularly.</t>
      </text>
    </comment>
    <comment ref="B9" authorId="0" shapeId="0">
      <text>
        <t>LEVER. 5% base case. Sensitivity grid tests 2-15%.</t>
      </text>
    </comment>
    <comment ref="B10" authorId="0" shapeId="0">
      <text>
        <t>In-app at time of writing.</t>
      </text>
    </comment>
    <comment ref="B13" authorId="0" shapeId="0">
      <text>
        <t>LEVER. Heavy users self-select into an unlimited plan. Sensitivity tests 15-240.</t>
      </text>
    </comment>
    <comment ref="B17" authorId="0" shapeId="0">
      <text>
        <t>Range $0.30-0.40. One question = 10-15 model calls (planner, data agents, literature RAG with 8 searches, synthesis), observed in probe transcripts.</t>
      </text>
    </comment>
    <comment ref="B18" authorId="0" shapeId="0">
      <text>
        <t>Range $0.02-0.05 (mini/flash-class).</t>
      </text>
    </comment>
    <comment ref="B19" authorId="0" shapeId="0">
      <text>
        <t>Range $0.002-0.01 (fine-tuned 7-8B).</t>
      </text>
    </comment>
    <comment ref="B20" authorId="0" shapeId="0">
      <text>
        <t>LEVER. Metering evidence (hard credit limits) points at 1 or 2: companies do not aggressively ration what costs them nothing.</t>
      </text>
    </comment>
    <comment ref="B23" authorId="0" shapeId="0">
      <text>
        <t>Weekly, matching the weekly snapshot cadence the app already ships.</t>
      </text>
    </comment>
    <comment ref="B24" authorId="0" shapeId="0">
      <text>
        <t>One digest = one full multi-agent synthesis over the week's data. Same request shape as one Deep Research query, so 1.0x its cost.</t>
      </text>
    </comment>
    <comment ref="B25" authorId="0" shapeId="0">
      <text>
        <t>Retrieval over the stored digest + one small-model call. Bounded: a follow-up can only ever cost what reading one document costs.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14" authorId="0" shapeId="0">
      <text>
        <t>Free tier under precompute gets the same weekly digest; a lighter digest on slower cadence would cost less. Conservative.</t>
      </text>
    </comment>
    <comment ref="B22" authorId="0" shapeId="0">
      <text>
        <t>Paid gross margin minus free-tier cost. Negative = the AI line loses money at cohort scale.</t>
      </text>
    </comment>
    <comment ref="B25" authorId="0" shapeId="0">
      <text>
        <t>The materiality test: even a perfect paid tier cannot move a $150mm run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Jade AI unit-economics scenario model</t>
        </is>
      </c>
    </row>
    <row r="2">
      <c r="A2" s="2" t="inlineStr">
        <is>
          <t>Companion to ECONOMICS.md in github.com/vyshnavtammanaboina/wearable-ai-audit. Every figure is an estimate</t>
        </is>
      </c>
    </row>
    <row r="3">
      <c r="A3" s="2" t="inlineStr">
        <is>
          <t>under stated assumptions; Ultrahuman publishes no segment data for Jade. The model exists to test whether</t>
        </is>
      </c>
    </row>
    <row r="4">
      <c r="A4" s="2" t="inlineStr">
        <is>
          <t>the verdict survives the ranges, not to defend any midpoint.</t>
        </is>
      </c>
    </row>
    <row r="5">
      <c r="A5" s="2" t="inlineStr"/>
    </row>
    <row r="6">
      <c r="A6" s="3" t="inlineStr">
        <is>
          <t>HOW TO USE</t>
        </is>
      </c>
    </row>
    <row r="7">
      <c r="A7" s="2" t="inlineStr">
        <is>
          <t>Edit only blue-font cells on the Inputs sheet. Yellow-filled cells are the three main levers:</t>
        </is>
      </c>
    </row>
    <row r="8">
      <c r="A8" s="2" t="inlineStr">
        <is>
          <t xml:space="preserve">  1) Inference scenario (1=Frontier API, 2=Mid-tier API, 3=Self-hosted small model)</t>
        </is>
      </c>
    </row>
    <row r="9">
      <c r="A9" s="2" t="inlineStr">
        <is>
          <t xml:space="preserve">  2) Paid-user queries per month (the heavy-user lever)</t>
        </is>
      </c>
    </row>
    <row r="10">
      <c r="A10" s="2" t="inlineStr">
        <is>
          <t xml:space="preserve">  3) Paid conversion rate</t>
        </is>
      </c>
    </row>
    <row r="11">
      <c r="A11" s="2" t="inlineStr">
        <is>
          <t>Model sheet computes both architectures side by side. Sensitivity sheet shows where each one breaks.</t>
        </is>
      </c>
    </row>
    <row r="12">
      <c r="A12" s="2" t="inlineStr"/>
    </row>
    <row r="13">
      <c r="A13" s="3" t="inlineStr">
        <is>
          <t>THE CORE MECHANIC</t>
        </is>
      </c>
    </row>
    <row r="14">
      <c r="A14" s="2" t="inlineStr">
        <is>
          <t>On-demand: every question fires a 10-15 call multi-agent synthesis, so COGS scales with questions asked.</t>
        </is>
      </c>
    </row>
    <row r="15">
      <c r="A15" s="2" t="inlineStr">
        <is>
          <t>Precompute: one weekly digest per user is generated in batch and stored as user data; follow-up questions</t>
        </is>
      </c>
    </row>
    <row r="16">
      <c r="A16" s="2" t="inlineStr">
        <is>
          <t>run as retrieval over that bounded document plus one small-model call. COGS scales with users, not questions.</t>
        </is>
      </c>
    </row>
    <row r="17">
      <c r="A17" s="2" t="inlineStr"/>
    </row>
    <row r="18">
      <c r="A18" s="3" t="inlineStr">
        <is>
          <t>SOURCES</t>
        </is>
      </c>
    </row>
    <row r="19">
      <c r="A19" s="2" t="inlineStr">
        <is>
          <t>FY25 revenue/profit: Entrackr reporting on Ultrahuman FY25 (~INR 565 Cr / 73 Cr). Run rate: trade press.</t>
        </is>
      </c>
    </row>
    <row r="20">
      <c r="A20" s="2" t="inlineStr">
        <is>
          <t>Query architecture (10-15 calls, ~30s): observed in probe transcripts, probes/P1-2026-08-04.md.</t>
        </is>
      </c>
    </row>
    <row r="21">
      <c r="A21" s="2" t="inlineStr">
        <is>
          <t>Credit metering: observed in-app ('Daily credits used - Credits renew in 2 hours').</t>
        </is>
      </c>
    </row>
    <row r="22">
      <c r="A22" s="2" t="inlineStr">
        <is>
          <t>Inference prices: published API pricing ranges at time of writing; midpoints used, ranges in cell notes.</t>
        </is>
      </c>
    </row>
    <row r="23">
      <c r="A23" s="2" t="inlineStr">
        <is>
          <t>User base, conversion, query volumes: author estimates. Flagged blue; every one is a lever.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COMPANY BASE (reported / trade press)</t>
        </is>
      </c>
      <c r="B1" s="5" t="n"/>
      <c r="C1" s="5" t="n"/>
      <c r="D1" s="5" t="n"/>
    </row>
    <row r="2">
      <c r="A2" s="2" t="inlineStr">
        <is>
          <t>FY25 revenue ($mm)</t>
        </is>
      </c>
      <c r="B2" s="6" t="n">
        <v>68</v>
      </c>
    </row>
    <row r="3">
      <c r="A3" s="2" t="inlineStr">
        <is>
          <t>FY25 net profit ($mm)</t>
        </is>
      </c>
      <c r="B3" s="7" t="n">
        <v>8.800000000000001</v>
      </c>
    </row>
    <row r="4">
      <c r="A4" s="2" t="inlineStr">
        <is>
          <t>Annualised run rate ($mm)</t>
        </is>
      </c>
      <c r="B4" s="6" t="n">
        <v>150</v>
      </c>
    </row>
    <row r="6">
      <c r="A6" s="4" t="inlineStr">
        <is>
          <t>USERS &amp; PRICING (author estimates - levers)</t>
        </is>
      </c>
      <c r="B6" s="5" t="n"/>
      <c r="C6" s="5" t="n"/>
      <c r="D6" s="5" t="n"/>
    </row>
    <row r="7">
      <c r="A7" s="2" t="inlineStr">
        <is>
          <t>Cumulative active ring base (users)</t>
        </is>
      </c>
      <c r="B7" s="8" t="n">
        <v>400000</v>
      </c>
    </row>
    <row r="8">
      <c r="A8" s="2" t="inlineStr">
        <is>
          <t>Regular free-tier Jade users</t>
        </is>
      </c>
      <c r="B8" s="8" t="n">
        <v>60000</v>
      </c>
    </row>
    <row r="9">
      <c r="A9" s="2" t="inlineStr">
        <is>
          <t>Paid conversion of active base</t>
        </is>
      </c>
      <c r="B9" s="9" t="n">
        <v>0.05</v>
      </c>
    </row>
    <row r="10">
      <c r="A10" s="2" t="inlineStr">
        <is>
          <t>Jade Pro price ($/user/month)</t>
        </is>
      </c>
      <c r="B10" s="7" t="n">
        <v>3.99</v>
      </c>
    </row>
    <row r="12">
      <c r="A12" s="4" t="inlineStr">
        <is>
          <t>USAGE (author estimates - levers)</t>
        </is>
      </c>
      <c r="B12" s="5" t="n"/>
      <c r="C12" s="5" t="n"/>
      <c r="D12" s="5" t="n"/>
    </row>
    <row r="13">
      <c r="A13" s="2" t="inlineStr">
        <is>
          <t>Paid-user questions per month</t>
        </is>
      </c>
      <c r="B13" s="10" t="n">
        <v>60</v>
      </c>
    </row>
    <row r="14">
      <c r="A14" s="2" t="inlineStr">
        <is>
          <t>Free-user questions per month</t>
        </is>
      </c>
      <c r="B14" s="8" t="n">
        <v>15</v>
      </c>
    </row>
    <row r="16">
      <c r="A16" s="4" t="inlineStr">
        <is>
          <t>INFERENCE COST PER ON-DEMAND QUERY ($)</t>
        </is>
      </c>
      <c r="B16" s="5" t="n"/>
      <c r="C16" s="5" t="n"/>
      <c r="D16" s="5" t="n"/>
    </row>
    <row r="17">
      <c r="A17" s="2" t="inlineStr">
        <is>
          <t>Scenario 1: Frontier API</t>
        </is>
      </c>
      <c r="B17" s="11" t="n">
        <v>0.35</v>
      </c>
    </row>
    <row r="18">
      <c r="A18" s="2" t="inlineStr">
        <is>
          <t>Scenario 2: Mid-tier API</t>
        </is>
      </c>
      <c r="B18" s="11" t="n">
        <v>0.035</v>
      </c>
    </row>
    <row r="19">
      <c r="A19" s="2" t="inlineStr">
        <is>
          <t>Scenario 3: Self-hosted small model</t>
        </is>
      </c>
      <c r="B19" s="11" t="n">
        <v>0.006</v>
      </c>
    </row>
    <row r="20">
      <c r="A20" s="2" t="inlineStr">
        <is>
          <t>SELECTED SCENARIO (1, 2 or 3)</t>
        </is>
      </c>
      <c r="B20" s="10" t="n">
        <v>1</v>
      </c>
    </row>
    <row r="22">
      <c r="A22" s="4" t="inlineStr">
        <is>
          <t>PRECOMPUTE ARCHITECTURE</t>
        </is>
      </c>
      <c r="B22" s="5" t="n"/>
      <c r="C22" s="5" t="n"/>
      <c r="D22" s="5" t="n"/>
    </row>
    <row r="23">
      <c r="A23" s="2" t="inlineStr">
        <is>
          <t>Digests per user per year</t>
        </is>
      </c>
      <c r="B23" s="8" t="n">
        <v>52</v>
      </c>
    </row>
    <row r="24">
      <c r="A24" s="2" t="inlineStr">
        <is>
          <t>Digest generation cost (x one on-demand query)</t>
        </is>
      </c>
      <c r="B24" s="12" t="n">
        <v>1</v>
      </c>
    </row>
    <row r="25">
      <c r="A25" s="2" t="inlineStr">
        <is>
          <t>Follow-up question cost ($)</t>
        </is>
      </c>
      <c r="B25" s="11" t="n">
        <v>0.015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4" customWidth="1" min="4" max="4"/>
  </cols>
  <sheetData>
    <row r="1">
      <c r="A1" s="4" t="inlineStr">
        <is>
          <t>SELECTED SCENARIO</t>
        </is>
      </c>
      <c r="B1" s="5" t="n"/>
      <c r="C1" s="5" t="n"/>
    </row>
    <row r="2">
      <c r="A2" s="2" t="inlineStr">
        <is>
          <t>Inference scenario</t>
        </is>
      </c>
      <c r="B2" s="13">
        <f>INDEX({"Frontier API","Mid-tier API","Self-hosted SLM"},Inputs!B20)</f>
        <v/>
      </c>
    </row>
    <row r="3">
      <c r="A3" s="2" t="inlineStr">
        <is>
          <t>Cost per on-demand query</t>
        </is>
      </c>
      <c r="B3" s="14">
        <f>INDEX(Inputs!B17:B19,Inputs!B20)</f>
        <v/>
      </c>
    </row>
    <row r="4">
      <c r="A4" s="2" t="inlineStr">
        <is>
          <t>Digest generation cost</t>
        </is>
      </c>
      <c r="B4" s="15">
        <f>B3*Inputs!B24</f>
        <v/>
      </c>
    </row>
    <row r="6">
      <c r="A6" s="4" t="inlineStr">
        <is>
          <t>PER PAID USER, MONTHLY</t>
        </is>
      </c>
      <c r="B6" s="5" t="n"/>
      <c r="C6" s="5" t="n"/>
    </row>
    <row r="7">
      <c r="B7" s="16" t="inlineStr">
        <is>
          <t>On-demand</t>
        </is>
      </c>
      <c r="C7" s="16" t="inlineStr">
        <is>
          <t>Precompute</t>
        </is>
      </c>
    </row>
    <row r="8">
      <c r="A8" s="2" t="inlineStr">
        <is>
          <t>Revenue</t>
        </is>
      </c>
      <c r="B8" s="17">
        <f>Inputs!B10</f>
        <v/>
      </c>
      <c r="C8" s="17">
        <f>Inputs!B10</f>
        <v/>
      </c>
    </row>
    <row r="9">
      <c r="A9" s="2" t="inlineStr">
        <is>
          <t>COGS</t>
        </is>
      </c>
      <c r="B9" s="18">
        <f>Inputs!B13*B3</f>
        <v/>
      </c>
      <c r="C9" s="18">
        <f>(Inputs!B23/12)*$B$4+Inputs!B13*Inputs!B25</f>
        <v/>
      </c>
    </row>
    <row r="10">
      <c r="A10" s="2" t="inlineStr">
        <is>
          <t>Gross margin ($)</t>
        </is>
      </c>
      <c r="B10" s="18">
        <f>B8-B9</f>
        <v/>
      </c>
      <c r="C10" s="18">
        <f>C8-C9</f>
        <v/>
      </c>
    </row>
    <row r="11">
      <c r="A11" s="2" t="inlineStr">
        <is>
          <t>Gross margin (%)</t>
        </is>
      </c>
      <c r="B11" s="19">
        <f>IF(B8=0,0,B10/B8)</f>
        <v/>
      </c>
      <c r="C11" s="19">
        <f>IF(C8=0,0,C10/C8)</f>
        <v/>
      </c>
    </row>
    <row r="13">
      <c r="A13" s="4" t="inlineStr">
        <is>
          <t>PER FREE USER, MONTHLY</t>
        </is>
      </c>
      <c r="B13" s="5" t="n"/>
      <c r="C13" s="5" t="n"/>
    </row>
    <row r="14">
      <c r="A14" s="2" t="inlineStr">
        <is>
          <t>COGS</t>
        </is>
      </c>
      <c r="B14" s="18">
        <f>Inputs!B14*B3</f>
        <v/>
      </c>
      <c r="C14" s="18">
        <f>(Inputs!B23/12)*$B$4+Inputs!B14*Inputs!B25</f>
        <v/>
      </c>
    </row>
    <row r="16">
      <c r="A16" s="4" t="inlineStr">
        <is>
          <t>COHORT, ANNUAL ($)</t>
        </is>
      </c>
      <c r="B16" s="5" t="n"/>
      <c r="C16" s="5" t="n"/>
    </row>
    <row r="17">
      <c r="A17" s="2" t="inlineStr">
        <is>
          <t>Paid subscribers</t>
        </is>
      </c>
      <c r="B17" s="20">
        <f>Inputs!B7*Inputs!B9</f>
        <v/>
      </c>
    </row>
    <row r="18">
      <c r="A18" s="2" t="inlineStr">
        <is>
          <t>Paid revenue / yr</t>
        </is>
      </c>
      <c r="B18" s="21">
        <f>B17*Inputs!B10*12</f>
        <v/>
      </c>
    </row>
    <row r="19">
      <c r="A19" s="2" t="inlineStr">
        <is>
          <t>Paid COGS / yr</t>
        </is>
      </c>
      <c r="B19" s="21">
        <f>B17*B9*12</f>
        <v/>
      </c>
      <c r="C19" s="21">
        <f>B17*C9*12</f>
        <v/>
      </c>
    </row>
    <row r="20">
      <c r="A20" s="2" t="inlineStr">
        <is>
          <t>Paid gross margin / yr</t>
        </is>
      </c>
      <c r="B20" s="21">
        <f>B18-B19</f>
        <v/>
      </c>
      <c r="C20" s="21">
        <f>B18-C19</f>
        <v/>
      </c>
    </row>
    <row r="21">
      <c r="A21" s="2" t="inlineStr">
        <is>
          <t>Free-tier cost / yr</t>
        </is>
      </c>
      <c r="B21" s="21">
        <f>Inputs!B8*B14*12</f>
        <v/>
      </c>
      <c r="C21" s="21">
        <f>Inputs!B8*C14*12</f>
        <v/>
      </c>
    </row>
    <row r="22">
      <c r="A22" s="2" t="inlineStr">
        <is>
          <t>Total AI line, net / yr</t>
        </is>
      </c>
      <c r="B22" s="21">
        <f>B20-B21</f>
        <v/>
      </c>
      <c r="C22" s="21">
        <f>C20-C21</f>
        <v/>
      </c>
    </row>
    <row r="24">
      <c r="A24" s="4" t="inlineStr">
        <is>
          <t>CONTEXT</t>
        </is>
      </c>
      <c r="B24" s="5" t="n"/>
      <c r="C24" s="5" t="n"/>
    </row>
    <row r="25">
      <c r="A25" s="2" t="inlineStr">
        <is>
          <t>Paid revenue as % of run rate</t>
        </is>
      </c>
      <c r="B25" s="19">
        <f>B18/(Inputs!B4*1000000)</f>
        <v/>
      </c>
    </row>
    <row r="26">
      <c r="A26" s="2" t="inlineStr">
        <is>
          <t>Free-tier cost as % of FY25 net profit</t>
        </is>
      </c>
      <c r="B26" s="19">
        <f>B21/(Inputs!B3*1000000)</f>
        <v/>
      </c>
      <c r="C26" s="19">
        <f>C21/(Inputs!B3*1000000)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PAID GROSS MARGIN % vs QUESTIONS PER MONTH (selected scenario)</t>
        </is>
      </c>
      <c r="B1" s="5" t="n"/>
      <c r="C1" s="5" t="n"/>
      <c r="D1" s="5" t="n"/>
      <c r="E1" s="5" t="n"/>
      <c r="F1" s="5" t="n"/>
    </row>
    <row r="2">
      <c r="A2" s="3" t="inlineStr">
        <is>
          <t>Questions / month</t>
        </is>
      </c>
      <c r="B2" s="8" t="n">
        <v>15</v>
      </c>
      <c r="C2" s="8" t="n">
        <v>30</v>
      </c>
      <c r="D2" s="8" t="n">
        <v>60</v>
      </c>
      <c r="E2" s="8" t="n">
        <v>120</v>
      </c>
      <c r="F2" s="8" t="n">
        <v>240</v>
      </c>
    </row>
    <row r="3">
      <c r="A3" s="2" t="inlineStr">
        <is>
          <t>On-demand</t>
        </is>
      </c>
      <c r="B3" s="19">
        <f>(Inputs!$B$10-B$2*Model!$B$3)/Inputs!$B$10</f>
        <v/>
      </c>
      <c r="C3" s="19">
        <f>(Inputs!$B$10-C$2*Model!$B$3)/Inputs!$B$10</f>
        <v/>
      </c>
      <c r="D3" s="19">
        <f>(Inputs!$B$10-D$2*Model!$B$3)/Inputs!$B$10</f>
        <v/>
      </c>
      <c r="E3" s="19">
        <f>(Inputs!$B$10-E$2*Model!$B$3)/Inputs!$B$10</f>
        <v/>
      </c>
      <c r="F3" s="19">
        <f>(Inputs!$B$10-F$2*Model!$B$3)/Inputs!$B$10</f>
        <v/>
      </c>
    </row>
    <row r="4">
      <c r="A4" s="2" t="inlineStr">
        <is>
          <t>Precompute</t>
        </is>
      </c>
      <c r="B4" s="19">
        <f>(Inputs!$B$10-((Inputs!$B$23/12)*Model!$B$4+B$2*Inputs!$B$25))/Inputs!$B$10</f>
        <v/>
      </c>
      <c r="C4" s="19">
        <f>(Inputs!$B$10-((Inputs!$B$23/12)*Model!$B$4+C$2*Inputs!$B$25))/Inputs!$B$10</f>
        <v/>
      </c>
      <c r="D4" s="19">
        <f>(Inputs!$B$10-((Inputs!$B$23/12)*Model!$B$4+D$2*Inputs!$B$25))/Inputs!$B$10</f>
        <v/>
      </c>
      <c r="E4" s="19">
        <f>(Inputs!$B$10-((Inputs!$B$23/12)*Model!$B$4+E$2*Inputs!$B$25))/Inputs!$B$10</f>
        <v/>
      </c>
      <c r="F4" s="19">
        <f>(Inputs!$B$10-((Inputs!$B$23/12)*Model!$B$4+F$2*Inputs!$B$25))/Inputs!$B$10</f>
        <v/>
      </c>
    </row>
    <row r="5">
      <c r="A5" s="22" t="inlineStr">
        <is>
          <t>On-demand margin collapses with usage; precompute is nearly flat. That difference is the whole argument.</t>
        </is>
      </c>
    </row>
    <row r="7">
      <c r="A7" s="4" t="inlineStr">
        <is>
          <t>PRECOMPUTE: ANNUAL AI LINE NET ($) vs CONVERSION x PRICE</t>
        </is>
      </c>
      <c r="B7" s="5" t="n"/>
      <c r="C7" s="5" t="n"/>
      <c r="D7" s="5" t="n"/>
      <c r="E7" s="5" t="n"/>
      <c r="F7" s="5" t="n"/>
    </row>
    <row r="8">
      <c r="A8" s="3" t="inlineStr">
        <is>
          <t>Conversion \ Price ($/mo)</t>
        </is>
      </c>
      <c r="B8" s="7" t="n">
        <v>1.99</v>
      </c>
      <c r="C8" s="7" t="n">
        <v>3.99</v>
      </c>
      <c r="D8" s="7" t="n">
        <v>5.99</v>
      </c>
      <c r="E8" s="7" t="n">
        <v>7.99</v>
      </c>
    </row>
    <row r="9">
      <c r="A9" s="23" t="n">
        <v>0.02</v>
      </c>
      <c r="B9" s="21">
        <f>Inputs!$B$7*$A9*(B$8-((Inputs!$B$23/12)*Model!$B$4+Inputs!$B$13*Inputs!$B$25))*12-Inputs!$B$8*Model!$C$14*12</f>
        <v/>
      </c>
      <c r="C9" s="21">
        <f>Inputs!$B$7*$A9*(C$8-((Inputs!$B$23/12)*Model!$B$4+Inputs!$B$13*Inputs!$B$25))*12-Inputs!$B$8*Model!$C$14*12</f>
        <v/>
      </c>
      <c r="D9" s="21">
        <f>Inputs!$B$7*$A9*(D$8-((Inputs!$B$23/12)*Model!$B$4+Inputs!$B$13*Inputs!$B$25))*12-Inputs!$B$8*Model!$C$14*12</f>
        <v/>
      </c>
      <c r="E9" s="21">
        <f>Inputs!$B$7*$A9*(E$8-((Inputs!$B$23/12)*Model!$B$4+Inputs!$B$13*Inputs!$B$25))*12-Inputs!$B$8*Model!$C$14*12</f>
        <v/>
      </c>
    </row>
    <row r="10">
      <c r="A10" s="23" t="n">
        <v>0.05</v>
      </c>
      <c r="B10" s="21">
        <f>Inputs!$B$7*$A10*(B$8-((Inputs!$B$23/12)*Model!$B$4+Inputs!$B$13*Inputs!$B$25))*12-Inputs!$B$8*Model!$C$14*12</f>
        <v/>
      </c>
      <c r="C10" s="21">
        <f>Inputs!$B$7*$A10*(C$8-((Inputs!$B$23/12)*Model!$B$4+Inputs!$B$13*Inputs!$B$25))*12-Inputs!$B$8*Model!$C$14*12</f>
        <v/>
      </c>
      <c r="D10" s="21">
        <f>Inputs!$B$7*$A10*(D$8-((Inputs!$B$23/12)*Model!$B$4+Inputs!$B$13*Inputs!$B$25))*12-Inputs!$B$8*Model!$C$14*12</f>
        <v/>
      </c>
      <c r="E10" s="21">
        <f>Inputs!$B$7*$A10*(E$8-((Inputs!$B$23/12)*Model!$B$4+Inputs!$B$13*Inputs!$B$25))*12-Inputs!$B$8*Model!$C$14*12</f>
        <v/>
      </c>
    </row>
    <row r="11">
      <c r="A11" s="23" t="n">
        <v>0.1</v>
      </c>
      <c r="B11" s="21">
        <f>Inputs!$B$7*$A11*(B$8-((Inputs!$B$23/12)*Model!$B$4+Inputs!$B$13*Inputs!$B$25))*12-Inputs!$B$8*Model!$C$14*12</f>
        <v/>
      </c>
      <c r="C11" s="21">
        <f>Inputs!$B$7*$A11*(C$8-((Inputs!$B$23/12)*Model!$B$4+Inputs!$B$13*Inputs!$B$25))*12-Inputs!$B$8*Model!$C$14*12</f>
        <v/>
      </c>
      <c r="D11" s="21">
        <f>Inputs!$B$7*$A11*(D$8-((Inputs!$B$23/12)*Model!$B$4+Inputs!$B$13*Inputs!$B$25))*12-Inputs!$B$8*Model!$C$14*12</f>
        <v/>
      </c>
      <c r="E11" s="21">
        <f>Inputs!$B$7*$A11*(E$8-((Inputs!$B$23/12)*Model!$B$4+Inputs!$B$13*Inputs!$B$25))*12-Inputs!$B$8*Model!$C$14*12</f>
        <v/>
      </c>
    </row>
    <row r="12">
      <c r="A12" s="23" t="n">
        <v>0.15</v>
      </c>
      <c r="B12" s="21">
        <f>Inputs!$B$7*$A12*(B$8-((Inputs!$B$23/12)*Model!$B$4+Inputs!$B$13*Inputs!$B$25))*12-Inputs!$B$8*Model!$C$14*12</f>
        <v/>
      </c>
      <c r="C12" s="21">
        <f>Inputs!$B$7*$A12*(C$8-((Inputs!$B$23/12)*Model!$B$4+Inputs!$B$13*Inputs!$B$25))*12-Inputs!$B$8*Model!$C$14*12</f>
        <v/>
      </c>
      <c r="D12" s="21">
        <f>Inputs!$B$7*$A12*(D$8-((Inputs!$B$23/12)*Model!$B$4+Inputs!$B$13*Inputs!$B$25))*12-Inputs!$B$8*Model!$C$14*12</f>
        <v/>
      </c>
      <c r="E12" s="21">
        <f>Inputs!$B$7*$A12*(E$8-((Inputs!$B$23/12)*Model!$B$4+Inputs!$B$13*Inputs!$B$25))*12-Inputs!$B$8*Model!$C$14*12</f>
        <v/>
      </c>
    </row>
    <row r="13">
      <c r="A13" s="22" t="inlineStr">
        <is>
          <t>Paid margin at cohort scale minus free-tier cost, precompute architecture, selected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2026-08-10T01:48:48Z</dcterms:created>
  <dcterms:modified xmlns:dcterms="http://purl.org/dc/terms/" xmlns:xsi="http://www.w3.org/2001/XMLSchema-instance" xsi:type="dcterms:W3CDTF">2026-08-10T01:48:48Z</dcterms:modified>
</cp:coreProperties>
</file>